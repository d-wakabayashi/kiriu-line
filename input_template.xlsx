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設定" sheetId="1" state="visible" r:id="rId1"/>
    <sheet name="ライン能力" sheetId="2" state="visible" r:id="rId2"/>
    <sheet name="部品マス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i val="1"/>
      <color rgb="00666666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/>
    </xf>
    <xf numFmtId="3" fontId="0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System</author>
  </authors>
  <commentList>
    <comment ref="B4" authorId="0" shapeId="0">
      <text>
        <t>設備仕様が記載されたExcelファイルのパス</t>
      </text>
    </comment>
    <comment ref="B5" authorId="0" shapeId="0">
      <text>
        <t>生産計画が記載されたExcel/マクロファイルのパス</t>
      </text>
    </comment>
    <comment ref="B6" authorId="0" shapeId="0">
      <text>
        <t>読み込むシート名</t>
      </text>
    </comment>
    <comment ref="B9" authorId="0" shapeId="0">
      <text>
        <t>最適化の最大実行時間（秒）。通常は300秒で十分</t>
      </text>
    </comment>
    <comment ref="B14" authorId="0" shapeId="0">
      <text>
        <t>Google DriveのフォルダIDを入力（URLの末尾の文字列）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KIRIU ライン負荷最適化 - 入力設定</t>
        </is>
      </c>
    </row>
    <row r="3">
      <c r="A3" s="2" t="inlineStr">
        <is>
          <t>【入力ファイル設定】</t>
        </is>
      </c>
    </row>
    <row r="4">
      <c r="A4" s="3" t="inlineStr">
        <is>
          <t>設備仕様ファイル</t>
        </is>
      </c>
      <c r="B4" s="4" t="inlineStr">
        <is>
          <t>/home/user/kiriu-line/KRA部品-設備仕様確認.xlsx</t>
        </is>
      </c>
    </row>
    <row r="5">
      <c r="A5" s="3" t="inlineStr">
        <is>
          <t>生産計画ファイル</t>
        </is>
      </c>
      <c r="B5" s="4" t="inlineStr">
        <is>
          <t>/home/user/kiriu-line/2026通期事計加工計画20251104 165220(配付） .xlsm</t>
        </is>
      </c>
    </row>
    <row r="6">
      <c r="A6" s="3" t="inlineStr">
        <is>
          <t>生産計画シート名</t>
        </is>
      </c>
      <c r="B6" s="4" t="inlineStr">
        <is>
          <t>赤堀分工場2029上期</t>
        </is>
      </c>
    </row>
    <row r="8">
      <c r="A8" s="2" t="inlineStr">
        <is>
          <t>【ソルバー設定】</t>
        </is>
      </c>
    </row>
    <row r="9">
      <c r="A9" s="3" t="inlineStr">
        <is>
          <t>制限時間（秒）</t>
        </is>
      </c>
      <c r="B9" s="4" t="n">
        <v>300</v>
      </c>
    </row>
    <row r="11">
      <c r="A11" s="2" t="inlineStr">
        <is>
          <t>【出力設定】</t>
        </is>
      </c>
    </row>
    <row r="12">
      <c r="A12" s="3" t="inlineStr">
        <is>
          <t>出力ディレクトリ</t>
        </is>
      </c>
      <c r="B12" s="4" t="inlineStr">
        <is>
          <t>./output_template_test</t>
        </is>
      </c>
    </row>
    <row r="13">
      <c r="A13" s="3" t="inlineStr">
        <is>
          <t>Google Drive出力</t>
        </is>
      </c>
      <c r="B13" s="4" t="inlineStr">
        <is>
          <t>OFF</t>
        </is>
      </c>
    </row>
    <row r="14">
      <c r="A14" s="3" t="inlineStr">
        <is>
          <t>Google DriveフォルダID</t>
        </is>
      </c>
      <c r="B14" s="4" t="inlineStr"/>
    </row>
    <row r="16">
      <c r="A16" s="2" t="inlineStr">
        <is>
          <t>【メール設定】</t>
        </is>
      </c>
    </row>
    <row r="17">
      <c r="A17" s="3" t="inlineStr">
        <is>
          <t>メール送信</t>
        </is>
      </c>
      <c r="B17" s="4" t="inlineStr">
        <is>
          <t>OFF</t>
        </is>
      </c>
    </row>
    <row r="18">
      <c r="A18" s="3" t="inlineStr">
        <is>
          <t>送信先メールアドレス</t>
        </is>
      </c>
      <c r="B18" s="4" t="inlineStr"/>
    </row>
    <row r="19">
      <c r="A19" s="3" t="inlineStr">
        <is>
          <t>メール件名</t>
        </is>
      </c>
      <c r="B19" s="4" t="inlineStr">
        <is>
          <t>ライン負荷最適化結果</t>
        </is>
      </c>
    </row>
  </sheetData>
  <mergeCells count="1">
    <mergeCell ref="A1:D1"/>
  </mergeCells>
  <dataValidations count="2">
    <dataValidation sqref="B13" showDropDown="0" showInputMessage="0" showErrorMessage="0" allowBlank="0" type="list">
      <formula1>"ON,OFF"</formula1>
    </dataValidation>
    <dataValidation sqref="B17" showDropDown="0" showInputMessage="0" showErrorMessage="0" allowBlank="0" type="list">
      <formula1>"ON,OFF"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ライン別月間能力設定</t>
        </is>
      </c>
    </row>
    <row r="2">
      <c r="A2" s="5" t="inlineStr">
        <is>
          <t>※黄色セルに能力値を入力してください。月ごとに異なる能力を設定可能です。</t>
        </is>
      </c>
    </row>
    <row r="4">
      <c r="A4" s="6" t="inlineStr">
        <is>
          <t>ライン</t>
        </is>
      </c>
      <c r="B4" s="6" t="inlineStr">
        <is>
          <t>4月</t>
        </is>
      </c>
      <c r="C4" s="6" t="inlineStr">
        <is>
          <t>5月</t>
        </is>
      </c>
      <c r="D4" s="6" t="inlineStr">
        <is>
          <t>6月</t>
        </is>
      </c>
      <c r="E4" s="6" t="inlineStr">
        <is>
          <t>7月</t>
        </is>
      </c>
      <c r="F4" s="6" t="inlineStr">
        <is>
          <t>8月</t>
        </is>
      </c>
      <c r="G4" s="6" t="inlineStr">
        <is>
          <t>9月</t>
        </is>
      </c>
      <c r="H4" s="6" t="inlineStr">
        <is>
          <t>10月</t>
        </is>
      </c>
      <c r="I4" s="6" t="inlineStr">
        <is>
          <t>11月</t>
        </is>
      </c>
      <c r="J4" s="6" t="inlineStr">
        <is>
          <t>12月</t>
        </is>
      </c>
      <c r="K4" s="6" t="inlineStr">
        <is>
          <t>1月</t>
        </is>
      </c>
      <c r="L4" s="6" t="inlineStr">
        <is>
          <t>2月</t>
        </is>
      </c>
      <c r="M4" s="6" t="inlineStr">
        <is>
          <t>3月</t>
        </is>
      </c>
      <c r="N4" s="6" t="inlineStr">
        <is>
          <t>備考</t>
        </is>
      </c>
    </row>
    <row r="5">
      <c r="A5" s="3" t="inlineStr">
        <is>
          <t>4915</t>
        </is>
      </c>
      <c r="B5" s="7" t="n">
        <v>70000</v>
      </c>
      <c r="C5" s="7" t="n">
        <v>70000</v>
      </c>
      <c r="D5" s="7" t="n">
        <v>70000</v>
      </c>
      <c r="E5" s="7" t="n">
        <v>70000</v>
      </c>
      <c r="F5" s="7" t="n">
        <v>70000</v>
      </c>
      <c r="G5" s="7" t="n">
        <v>70000</v>
      </c>
      <c r="H5" s="7" t="n">
        <v>70000</v>
      </c>
      <c r="I5" s="7" t="n">
        <v>70000</v>
      </c>
      <c r="J5" s="7" t="n">
        <v>70000</v>
      </c>
      <c r="K5" s="7" t="n">
        <v>70000</v>
      </c>
      <c r="L5" s="7" t="n">
        <v>70000</v>
      </c>
      <c r="M5" s="7" t="n">
        <v>70000</v>
      </c>
      <c r="N5" s="8" t="inlineStr"/>
    </row>
    <row r="6">
      <c r="A6" s="3" t="inlineStr">
        <is>
          <t>4919</t>
        </is>
      </c>
      <c r="B6" s="7" t="n">
        <v>80000</v>
      </c>
      <c r="C6" s="7" t="n">
        <v>80000</v>
      </c>
      <c r="D6" s="7" t="n">
        <v>80000</v>
      </c>
      <c r="E6" s="7" t="n">
        <v>80000</v>
      </c>
      <c r="F6" s="7" t="n">
        <v>80000</v>
      </c>
      <c r="G6" s="7" t="n">
        <v>80000</v>
      </c>
      <c r="H6" s="7" t="n">
        <v>80000</v>
      </c>
      <c r="I6" s="7" t="n">
        <v>80000</v>
      </c>
      <c r="J6" s="7" t="n">
        <v>80000</v>
      </c>
      <c r="K6" s="7" t="n">
        <v>80000</v>
      </c>
      <c r="L6" s="7" t="n">
        <v>80000</v>
      </c>
      <c r="M6" s="7" t="n">
        <v>80000</v>
      </c>
      <c r="N6" s="8" t="inlineStr"/>
    </row>
    <row r="7">
      <c r="A7" s="3" t="inlineStr">
        <is>
          <t>4927</t>
        </is>
      </c>
      <c r="B7" s="7" t="n">
        <v>40000</v>
      </c>
      <c r="C7" s="7" t="n">
        <v>40000</v>
      </c>
      <c r="D7" s="7" t="n">
        <v>40000</v>
      </c>
      <c r="E7" s="7" t="n">
        <v>40000</v>
      </c>
      <c r="F7" s="7" t="n">
        <v>40000</v>
      </c>
      <c r="G7" s="7" t="n">
        <v>40000</v>
      </c>
      <c r="H7" s="7" t="n">
        <v>40000</v>
      </c>
      <c r="I7" s="7" t="n">
        <v>40000</v>
      </c>
      <c r="J7" s="7" t="n">
        <v>40000</v>
      </c>
      <c r="K7" s="7" t="n">
        <v>40000</v>
      </c>
      <c r="L7" s="7" t="n">
        <v>40000</v>
      </c>
      <c r="M7" s="7" t="n">
        <v>40000</v>
      </c>
      <c r="N7" s="8" t="inlineStr"/>
    </row>
    <row r="8">
      <c r="A8" s="3" t="inlineStr">
        <is>
          <t>4928</t>
        </is>
      </c>
      <c r="B8" s="7" t="n">
        <v>40000</v>
      </c>
      <c r="C8" s="7" t="n">
        <v>40000</v>
      </c>
      <c r="D8" s="7" t="n">
        <v>40000</v>
      </c>
      <c r="E8" s="7" t="n">
        <v>40000</v>
      </c>
      <c r="F8" s="7" t="n">
        <v>40000</v>
      </c>
      <c r="G8" s="7" t="n">
        <v>40000</v>
      </c>
      <c r="H8" s="7" t="n">
        <v>40000</v>
      </c>
      <c r="I8" s="7" t="n">
        <v>40000</v>
      </c>
      <c r="J8" s="7" t="n">
        <v>40000</v>
      </c>
      <c r="K8" s="7" t="n">
        <v>40000</v>
      </c>
      <c r="L8" s="7" t="n">
        <v>40000</v>
      </c>
      <c r="M8" s="7" t="n">
        <v>40000</v>
      </c>
      <c r="N8" s="8" t="inlineStr"/>
    </row>
    <row r="9">
      <c r="A9" s="3" t="inlineStr">
        <is>
          <t>4934</t>
        </is>
      </c>
      <c r="B9" s="7" t="n">
        <v>50000</v>
      </c>
      <c r="C9" s="7" t="n">
        <v>50000</v>
      </c>
      <c r="D9" s="7" t="n">
        <v>50000</v>
      </c>
      <c r="E9" s="7" t="n">
        <v>50000</v>
      </c>
      <c r="F9" s="7" t="n">
        <v>50000</v>
      </c>
      <c r="G9" s="7" t="n">
        <v>50000</v>
      </c>
      <c r="H9" s="7" t="n">
        <v>50000</v>
      </c>
      <c r="I9" s="7" t="n">
        <v>50000</v>
      </c>
      <c r="J9" s="7" t="n">
        <v>50000</v>
      </c>
      <c r="K9" s="7" t="n">
        <v>50000</v>
      </c>
      <c r="L9" s="7" t="n">
        <v>50000</v>
      </c>
      <c r="M9" s="7" t="n">
        <v>50000</v>
      </c>
      <c r="N9" s="8" t="inlineStr"/>
    </row>
    <row r="10">
      <c r="A10" s="3" t="inlineStr">
        <is>
          <t>4935</t>
        </is>
      </c>
      <c r="B10" s="7" t="n">
        <v>85000</v>
      </c>
      <c r="C10" s="7" t="n">
        <v>85000</v>
      </c>
      <c r="D10" s="7" t="n">
        <v>85000</v>
      </c>
      <c r="E10" s="7" t="n">
        <v>85000</v>
      </c>
      <c r="F10" s="7" t="n">
        <v>85000</v>
      </c>
      <c r="G10" s="7" t="n">
        <v>85000</v>
      </c>
      <c r="H10" s="7" t="n">
        <v>85000</v>
      </c>
      <c r="I10" s="7" t="n">
        <v>85000</v>
      </c>
      <c r="J10" s="7" t="n">
        <v>85000</v>
      </c>
      <c r="K10" s="7" t="n">
        <v>85000</v>
      </c>
      <c r="L10" s="7" t="n">
        <v>85000</v>
      </c>
      <c r="M10" s="7" t="n">
        <v>85000</v>
      </c>
      <c r="N10" s="8" t="inlineStr"/>
    </row>
    <row r="11">
      <c r="A11" s="3" t="inlineStr">
        <is>
          <t>4945</t>
        </is>
      </c>
      <c r="B11" s="7" t="n">
        <v>50000</v>
      </c>
      <c r="C11" s="7" t="n">
        <v>50000</v>
      </c>
      <c r="D11" s="7" t="n">
        <v>50000</v>
      </c>
      <c r="E11" s="7" t="n">
        <v>50000</v>
      </c>
      <c r="F11" s="7" t="n">
        <v>50000</v>
      </c>
      <c r="G11" s="7" t="n">
        <v>50000</v>
      </c>
      <c r="H11" s="7" t="n">
        <v>50000</v>
      </c>
      <c r="I11" s="7" t="n">
        <v>50000</v>
      </c>
      <c r="J11" s="7" t="n">
        <v>50000</v>
      </c>
      <c r="K11" s="7" t="n">
        <v>50000</v>
      </c>
      <c r="L11" s="7" t="n">
        <v>50000</v>
      </c>
      <c r="M11" s="7" t="n">
        <v>50000</v>
      </c>
      <c r="N11" s="8" t="inlineStr"/>
    </row>
    <row r="12">
      <c r="A12" s="3" t="inlineStr">
        <is>
          <t>4G01</t>
        </is>
      </c>
      <c r="B12" s="7" t="n">
        <v>50000</v>
      </c>
      <c r="C12" s="7" t="n">
        <v>50000</v>
      </c>
      <c r="D12" s="7" t="n">
        <v>50000</v>
      </c>
      <c r="E12" s="7" t="n">
        <v>50000</v>
      </c>
      <c r="F12" s="7" t="n">
        <v>50000</v>
      </c>
      <c r="G12" s="7" t="n">
        <v>50000</v>
      </c>
      <c r="H12" s="7" t="n">
        <v>50000</v>
      </c>
      <c r="I12" s="7" t="n">
        <v>50000</v>
      </c>
      <c r="J12" s="7" t="n">
        <v>50000</v>
      </c>
      <c r="K12" s="7" t="n">
        <v>50000</v>
      </c>
      <c r="L12" s="7" t="n">
        <v>50000</v>
      </c>
      <c r="M12" s="7" t="n">
        <v>50000</v>
      </c>
      <c r="N12" s="8" t="inlineStr"/>
    </row>
    <row r="13">
      <c r="A13" s="3" t="inlineStr">
        <is>
          <t>4J01</t>
        </is>
      </c>
      <c r="B13" s="7" t="n">
        <v>10000</v>
      </c>
      <c r="C13" s="7" t="n">
        <v>10000</v>
      </c>
      <c r="D13" s="7" t="n">
        <v>10000</v>
      </c>
      <c r="E13" s="7" t="n">
        <v>10000</v>
      </c>
      <c r="F13" s="7" t="n">
        <v>10000</v>
      </c>
      <c r="G13" s="7" t="n">
        <v>10000</v>
      </c>
      <c r="H13" s="7" t="n">
        <v>10000</v>
      </c>
      <c r="I13" s="7" t="n">
        <v>10000</v>
      </c>
      <c r="J13" s="7" t="n">
        <v>10000</v>
      </c>
      <c r="K13" s="7" t="n">
        <v>10000</v>
      </c>
      <c r="L13" s="7" t="n">
        <v>10000</v>
      </c>
      <c r="M13" s="7" t="n">
        <v>10000</v>
      </c>
      <c r="N13" s="8" t="inlineStr"/>
    </row>
    <row r="15">
      <c r="A15" s="9" t="inlineStr">
        <is>
          <t>合計</t>
        </is>
      </c>
      <c r="B15" s="10">
        <f>SUM(B5:B13)</f>
        <v/>
      </c>
      <c r="C15" s="10">
        <f>SUM(C5:C13)</f>
        <v/>
      </c>
      <c r="D15" s="10">
        <f>SUM(D5:D13)</f>
        <v/>
      </c>
      <c r="E15" s="10">
        <f>SUM(E5:E13)</f>
        <v/>
      </c>
      <c r="F15" s="10">
        <f>SUM(F5:F13)</f>
        <v/>
      </c>
      <c r="G15" s="10">
        <f>SUM(G5:G13)</f>
        <v/>
      </c>
      <c r="H15" s="10">
        <f>SUM(H5:H13)</f>
        <v/>
      </c>
      <c r="I15" s="10">
        <f>SUM(I5:I13)</f>
        <v/>
      </c>
      <c r="J15" s="10">
        <f>SUM(J5:J13)</f>
        <v/>
      </c>
      <c r="K15" s="10">
        <f>SUM(K5:K13)</f>
        <v/>
      </c>
      <c r="L15" s="10">
        <f>SUM(L5:L13)</f>
        <v/>
      </c>
      <c r="M15" s="10">
        <f>SUM(M5:M13)</f>
        <v/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部品マスタ（追加・上書き用）</t>
        </is>
      </c>
    </row>
    <row r="2">
      <c r="A2" s="5" t="inlineStr">
        <is>
          <t>※設備仕様ファイルに無い部品や、ライン割当を上書きしたい場合に使用</t>
        </is>
      </c>
    </row>
    <row r="4">
      <c r="A4" s="6" t="inlineStr">
        <is>
          <t>部品番号</t>
        </is>
      </c>
      <c r="B4" s="6" t="inlineStr">
        <is>
          <t>部品名</t>
        </is>
      </c>
      <c r="C4" s="6" t="inlineStr">
        <is>
          <t>メインライン</t>
        </is>
      </c>
      <c r="D4" s="6" t="inlineStr">
        <is>
          <t>サブ1ライン</t>
        </is>
      </c>
      <c r="E4" s="6" t="inlineStr">
        <is>
          <t>サブ2ライン</t>
        </is>
      </c>
      <c r="F4" s="6" t="inlineStr">
        <is>
          <t>備考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</row>
  </sheetData>
  <mergeCells count="1">
    <mergeCell ref="A1:F1"/>
  </mergeCells>
  <dataValidations count="1">
    <dataValidation sqref="C5 C6 C7 C8 C9 C10 C11 C12 C13 C14 D5 D6 D7 D8 D9 D10 D11 D12 D13 D14 E5 E6 E7 E8 E9 E10 E11 E12 E13 E14" showDropDown="0" showInputMessage="0" showErrorMessage="0" allowBlank="1" type="list">
      <formula1>"4915,4919,4927,4928,4934,4935,4945,4G01,4J01"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2026-02-03T09:49:45Z</dcterms:created>
  <dcterms:modified xsi:type="dcterms:W3CDTF">2026-02-03T09:49:57Z</dcterms:modified>
</cp:coreProperties>
</file>